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R_Workforce_Analytics\"/>
    </mc:Choice>
  </mc:AlternateContent>
  <bookViews>
    <workbookView xWindow="0" yWindow="0" windowWidth="19200" windowHeight="6930"/>
  </bookViews>
  <sheets>
    <sheet name="Employe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N6" i="1"/>
  <c r="M6" i="1"/>
  <c r="L6" i="1"/>
  <c r="N3" i="1"/>
  <c r="M3" i="1"/>
  <c r="L3" i="1"/>
</calcChain>
</file>

<file path=xl/sharedStrings.xml><?xml version="1.0" encoding="utf-8"?>
<sst xmlns="http://schemas.openxmlformats.org/spreadsheetml/2006/main" count="157" uniqueCount="82">
  <si>
    <t>EmployeeID</t>
  </si>
  <si>
    <t>EmployeeName</t>
  </si>
  <si>
    <t>Gender</t>
  </si>
  <si>
    <t>Department</t>
  </si>
  <si>
    <t>JobTitle</t>
  </si>
  <si>
    <t>Region</t>
  </si>
  <si>
    <t>Salary</t>
  </si>
  <si>
    <t>HireDate</t>
  </si>
  <si>
    <t>Performance</t>
  </si>
  <si>
    <t>Status</t>
  </si>
  <si>
    <t>E001</t>
  </si>
  <si>
    <t>John Mwita</t>
  </si>
  <si>
    <t>Male</t>
  </si>
  <si>
    <t>IT</t>
  </si>
  <si>
    <t>ICT Technician</t>
  </si>
  <si>
    <t>Dar es Salaam</t>
  </si>
  <si>
    <t>Active</t>
  </si>
  <si>
    <t>E002</t>
  </si>
  <si>
    <t>Mary Joseph</t>
  </si>
  <si>
    <t>Female</t>
  </si>
  <si>
    <t>Finance</t>
  </si>
  <si>
    <t>Accountant</t>
  </si>
  <si>
    <t>Arusha</t>
  </si>
  <si>
    <t>E003</t>
  </si>
  <si>
    <t>Peter Simon</t>
  </si>
  <si>
    <t>Sales</t>
  </si>
  <si>
    <t>Sales Officer</t>
  </si>
  <si>
    <t>Mwanza</t>
  </si>
  <si>
    <t>E004</t>
  </si>
  <si>
    <t>Asha Juma</t>
  </si>
  <si>
    <t>HR</t>
  </si>
  <si>
    <t>HR Officer</t>
  </si>
  <si>
    <t>E005</t>
  </si>
  <si>
    <t>David Charles</t>
  </si>
  <si>
    <t>Network Technician</t>
  </si>
  <si>
    <t>Dodoma</t>
  </si>
  <si>
    <t>E006</t>
  </si>
  <si>
    <t>Neema Paul</t>
  </si>
  <si>
    <t>Marketing</t>
  </si>
  <si>
    <t>Marketing Officer</t>
  </si>
  <si>
    <t>E007</t>
  </si>
  <si>
    <t>Michael James</t>
  </si>
  <si>
    <t>E008</t>
  </si>
  <si>
    <t>Rehema Ali</t>
  </si>
  <si>
    <t>Finance Officer</t>
  </si>
  <si>
    <t>E009</t>
  </si>
  <si>
    <t>Daniel George</t>
  </si>
  <si>
    <t>System Administrator</t>
  </si>
  <si>
    <t>E010</t>
  </si>
  <si>
    <t>Grace Emmanuel</t>
  </si>
  <si>
    <t>HR Assistant</t>
  </si>
  <si>
    <t>E011</t>
  </si>
  <si>
    <t>James Peter</t>
  </si>
  <si>
    <t>Operations</t>
  </si>
  <si>
    <t>Operations Officer</t>
  </si>
  <si>
    <t>E012</t>
  </si>
  <si>
    <t>Sarah John</t>
  </si>
  <si>
    <t>Software Support</t>
  </si>
  <si>
    <t>E013</t>
  </si>
  <si>
    <t>Robert Thomas</t>
  </si>
  <si>
    <t>E014</t>
  </si>
  <si>
    <t>Esther Joseph</t>
  </si>
  <si>
    <t>E015</t>
  </si>
  <si>
    <t>Charles David</t>
  </si>
  <si>
    <t>E016</t>
  </si>
  <si>
    <t>Agnes Peter</t>
  </si>
  <si>
    <t>Operations Assistant</t>
  </si>
  <si>
    <t>E017</t>
  </si>
  <si>
    <t>George Michael</t>
  </si>
  <si>
    <t>E018</t>
  </si>
  <si>
    <t>Juliana Paul</t>
  </si>
  <si>
    <t>E019</t>
  </si>
  <si>
    <t>Emmanuel Joseph</t>
  </si>
  <si>
    <t>E020</t>
  </si>
  <si>
    <t>Rebecca George</t>
  </si>
  <si>
    <t>Total Salary</t>
  </si>
  <si>
    <t>Average Salary</t>
  </si>
  <si>
    <t>Total Employees</t>
  </si>
  <si>
    <t>Highest Salary</t>
  </si>
  <si>
    <t>Lowest Salary</t>
  </si>
  <si>
    <t>Average Performance</t>
  </si>
  <si>
    <t>Performance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</si>
</sst>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9" formatCode="m/d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Employees" displayName="tblEmployees" ref="A1:K21" totalsRowShown="0">
  <autoFilter ref="A1:K21"/>
  <tableColumns count="11">
    <tableColumn id="1" name="EmployeeID"/>
    <tableColumn id="2" name="EmployeeName"/>
    <tableColumn id="3" name="Gender"/>
    <tableColumn id="4" name="Department"/>
    <tableColumn id="5" name="JobTitle"/>
    <tableColumn id="6" name="Region"/>
    <tableColumn id="7" name="Salary" dataDxfId="2"/>
    <tableColumn id="8" name="HireDate" dataDxfId="1"/>
    <tableColumn id="9" name="Performance"/>
    <tableColumn id="10" name="Status"/>
    <tableColumn id="11" name="Performance Level" dataDxfId="0">
      <calculatedColumnFormula>IF(tblEmployees[[#This Row],[Performance]]&gt;=90,"Excellent",IF(tblEmployees[[#This Row],[Performance]]&gt;=80,"Good","Needs Improvement"))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topLeftCell="D1" workbookViewId="0">
      <selection activeCell="O5" sqref="O5"/>
    </sheetView>
  </sheetViews>
  <sheetFormatPr defaultRowHeight="14.5" x14ac:dyDescent="0.35"/>
  <cols>
    <col min="1" max="1" width="12.81640625" customWidth="1"/>
    <col min="2" max="2" width="16" bestFit="1" customWidth="1"/>
    <col min="3" max="3" width="9" customWidth="1"/>
    <col min="4" max="4" width="13.08984375" customWidth="1"/>
    <col min="5" max="5" width="18.90625" bestFit="1" customWidth="1"/>
    <col min="6" max="6" width="12.54296875" bestFit="1" customWidth="1"/>
    <col min="7" max="7" width="10.36328125" style="2" bestFit="1" customWidth="1"/>
    <col min="8" max="8" width="10.453125" style="1" bestFit="1" customWidth="1"/>
    <col min="9" max="9" width="13.6328125" customWidth="1"/>
    <col min="10" max="10" width="8.08984375" customWidth="1"/>
    <col min="11" max="11" width="18.6328125" bestFit="1" customWidth="1"/>
    <col min="12" max="12" width="12.453125" bestFit="1" customWidth="1"/>
    <col min="13" max="13" width="13.08984375" bestFit="1" customWidth="1"/>
    <col min="14" max="14" width="18.9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1" t="s">
        <v>7</v>
      </c>
      <c r="I1" t="s">
        <v>8</v>
      </c>
      <c r="J1" t="s">
        <v>9</v>
      </c>
      <c r="K1" t="s">
        <v>81</v>
      </c>
    </row>
    <row r="2" spans="1:14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>
        <v>1500000</v>
      </c>
      <c r="H2" s="1">
        <v>44936</v>
      </c>
      <c r="I2">
        <v>85</v>
      </c>
      <c r="J2" t="s">
        <v>16</v>
      </c>
      <c r="K2" t="str">
        <f>IF(tblEmployees[[#This Row],[Performance]]&gt;=90,"Excellent",IF(tblEmployees[[#This Row],[Performance]]&gt;=80,"Good","Needs Improvement"))</f>
        <v>Good</v>
      </c>
      <c r="L2" t="s">
        <v>75</v>
      </c>
      <c r="M2" t="s">
        <v>76</v>
      </c>
      <c r="N2" t="s">
        <v>77</v>
      </c>
    </row>
    <row r="3" spans="1:14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s="2">
        <v>1800000</v>
      </c>
      <c r="H3" s="1">
        <v>44696</v>
      </c>
      <c r="I3">
        <v>92</v>
      </c>
      <c r="J3" t="s">
        <v>16</v>
      </c>
      <c r="K3" t="str">
        <f>IF(tblEmployees[[#This Row],[Performance]]&gt;=90,"Excellent",IF(tblEmployees[[#This Row],[Performance]]&gt;=80,"Good","Needs Improvement"))</f>
        <v>Excellent</v>
      </c>
      <c r="L3">
        <f>SUM(tblEmployees[Salary])</f>
        <v>30250000</v>
      </c>
      <c r="M3">
        <f>AVERAGE(tblEmployees[Salary])</f>
        <v>1512500</v>
      </c>
      <c r="N3">
        <f>COUNTA(tblEmployees[EmployeeID])</f>
        <v>20</v>
      </c>
    </row>
    <row r="4" spans="1:14" x14ac:dyDescent="0.35">
      <c r="A4" t="s">
        <v>23</v>
      </c>
      <c r="B4" t="s">
        <v>24</v>
      </c>
      <c r="C4" t="s">
        <v>12</v>
      </c>
      <c r="D4" t="s">
        <v>25</v>
      </c>
      <c r="E4" t="s">
        <v>26</v>
      </c>
      <c r="F4" t="s">
        <v>27</v>
      </c>
      <c r="G4" s="2">
        <v>1200000</v>
      </c>
      <c r="H4" s="1">
        <v>45323</v>
      </c>
      <c r="I4">
        <v>76</v>
      </c>
      <c r="J4" t="s">
        <v>16</v>
      </c>
      <c r="K4" t="str">
        <f>IF(tblEmployees[[#This Row],[Performance]]&gt;=90,"Excellent",IF(tblEmployees[[#This Row],[Performance]]&gt;=80,"Good","Needs Improvement"))</f>
        <v>Needs Improvement</v>
      </c>
    </row>
    <row r="5" spans="1:14" x14ac:dyDescent="0.35">
      <c r="A5" t="s">
        <v>28</v>
      </c>
      <c r="B5" t="s">
        <v>29</v>
      </c>
      <c r="C5" t="s">
        <v>19</v>
      </c>
      <c r="D5" t="s">
        <v>30</v>
      </c>
      <c r="E5" t="s">
        <v>31</v>
      </c>
      <c r="F5" t="s">
        <v>15</v>
      </c>
      <c r="G5" s="2">
        <v>1400000</v>
      </c>
      <c r="H5" s="1">
        <v>44428</v>
      </c>
      <c r="I5">
        <v>88</v>
      </c>
      <c r="J5" t="s">
        <v>16</v>
      </c>
      <c r="K5" t="str">
        <f>IF(tblEmployees[[#This Row],[Performance]]&gt;=90,"Excellent",IF(tblEmployees[[#This Row],[Performance]]&gt;=80,"Good","Needs Improvement"))</f>
        <v>Good</v>
      </c>
      <c r="L5" t="s">
        <v>78</v>
      </c>
      <c r="M5" t="s">
        <v>79</v>
      </c>
      <c r="N5" t="s">
        <v>80</v>
      </c>
    </row>
    <row r="6" spans="1:14" x14ac:dyDescent="0.35">
      <c r="A6" t="s">
        <v>32</v>
      </c>
      <c r="B6" t="s">
        <v>33</v>
      </c>
      <c r="C6" t="s">
        <v>12</v>
      </c>
      <c r="D6" t="s">
        <v>13</v>
      </c>
      <c r="E6" t="s">
        <v>34</v>
      </c>
      <c r="F6" t="s">
        <v>35</v>
      </c>
      <c r="G6" s="2">
        <v>1700000</v>
      </c>
      <c r="H6" s="1">
        <v>43902</v>
      </c>
      <c r="I6">
        <v>91</v>
      </c>
      <c r="J6" t="s">
        <v>16</v>
      </c>
      <c r="K6" t="str">
        <f>IF(tblEmployees[[#This Row],[Performance]]&gt;=90,"Excellent",IF(tblEmployees[[#This Row],[Performance]]&gt;=80,"Good","Needs Improvement"))</f>
        <v>Excellent</v>
      </c>
      <c r="L6">
        <f>MAX(tblEmployees[Salary])</f>
        <v>2100000</v>
      </c>
      <c r="M6">
        <f>MIN(tblEmployees[Salary])</f>
        <v>1100000</v>
      </c>
      <c r="N6">
        <f>AVERAGE(tblEmployees[Performance])</f>
        <v>84.6</v>
      </c>
    </row>
    <row r="7" spans="1:14" x14ac:dyDescent="0.35">
      <c r="A7" t="s">
        <v>36</v>
      </c>
      <c r="B7" t="s">
        <v>37</v>
      </c>
      <c r="C7" t="s">
        <v>19</v>
      </c>
      <c r="D7" t="s">
        <v>38</v>
      </c>
      <c r="E7" t="s">
        <v>39</v>
      </c>
      <c r="F7" t="s">
        <v>22</v>
      </c>
      <c r="G7" s="2">
        <v>1300000</v>
      </c>
      <c r="H7" s="1">
        <v>45095</v>
      </c>
      <c r="I7">
        <v>79</v>
      </c>
      <c r="J7" t="s">
        <v>16</v>
      </c>
      <c r="K7" t="str">
        <f>IF(tblEmployees[[#This Row],[Performance]]&gt;=90,"Excellent",IF(tblEmployees[[#This Row],[Performance]]&gt;=80,"Good","Needs Improvement"))</f>
        <v>Needs Improvement</v>
      </c>
    </row>
    <row r="8" spans="1:14" x14ac:dyDescent="0.35">
      <c r="A8" t="s">
        <v>40</v>
      </c>
      <c r="B8" t="s">
        <v>41</v>
      </c>
      <c r="C8" t="s">
        <v>12</v>
      </c>
      <c r="D8" t="s">
        <v>25</v>
      </c>
      <c r="E8" t="s">
        <v>26</v>
      </c>
      <c r="F8" t="s">
        <v>15</v>
      </c>
      <c r="G8" s="2">
        <v>1250000</v>
      </c>
      <c r="H8" s="1">
        <v>45299</v>
      </c>
      <c r="I8">
        <v>72</v>
      </c>
      <c r="J8" t="s">
        <v>16</v>
      </c>
      <c r="K8" t="str">
        <f>IF(tblEmployees[[#This Row],[Performance]]&gt;=90,"Excellent",IF(tblEmployees[[#This Row],[Performance]]&gt;=80,"Good","Needs Improvement"))</f>
        <v>Needs Improvement</v>
      </c>
    </row>
    <row r="9" spans="1:14" x14ac:dyDescent="0.35">
      <c r="A9" t="s">
        <v>42</v>
      </c>
      <c r="B9" t="s">
        <v>43</v>
      </c>
      <c r="C9" t="s">
        <v>19</v>
      </c>
      <c r="D9" t="s">
        <v>20</v>
      </c>
      <c r="E9" t="s">
        <v>44</v>
      </c>
      <c r="F9" t="s">
        <v>27</v>
      </c>
      <c r="G9" s="2">
        <v>1650000</v>
      </c>
      <c r="H9" s="1">
        <v>44890</v>
      </c>
      <c r="I9">
        <v>89</v>
      </c>
      <c r="J9" t="s">
        <v>16</v>
      </c>
      <c r="K9" t="str">
        <f>IF(tblEmployees[[#This Row],[Performance]]&gt;=90,"Excellent",IF(tblEmployees[[#This Row],[Performance]]&gt;=80,"Good","Needs Improvement"))</f>
        <v>Good</v>
      </c>
    </row>
    <row r="10" spans="1:14" x14ac:dyDescent="0.35">
      <c r="A10" t="s">
        <v>45</v>
      </c>
      <c r="B10" t="s">
        <v>46</v>
      </c>
      <c r="C10" t="s">
        <v>12</v>
      </c>
      <c r="D10" t="s">
        <v>13</v>
      </c>
      <c r="E10" t="s">
        <v>47</v>
      </c>
      <c r="F10" t="s">
        <v>15</v>
      </c>
      <c r="G10" s="2">
        <v>2100000</v>
      </c>
      <c r="H10" s="1">
        <v>43661</v>
      </c>
      <c r="I10">
        <v>95</v>
      </c>
      <c r="J10" t="s">
        <v>16</v>
      </c>
      <c r="K10" t="str">
        <f>IF(tblEmployees[[#This Row],[Performance]]&gt;=90,"Excellent",IF(tblEmployees[[#This Row],[Performance]]&gt;=80,"Good","Needs Improvement"))</f>
        <v>Excellent</v>
      </c>
    </row>
    <row r="11" spans="1:14" x14ac:dyDescent="0.35">
      <c r="A11" t="s">
        <v>48</v>
      </c>
      <c r="B11" t="s">
        <v>49</v>
      </c>
      <c r="C11" t="s">
        <v>19</v>
      </c>
      <c r="D11" t="s">
        <v>30</v>
      </c>
      <c r="E11" t="s">
        <v>50</v>
      </c>
      <c r="F11" t="s">
        <v>35</v>
      </c>
      <c r="G11" s="2">
        <v>1100000</v>
      </c>
      <c r="H11" s="1">
        <v>45392</v>
      </c>
      <c r="I11">
        <v>81</v>
      </c>
      <c r="J11" t="s">
        <v>16</v>
      </c>
      <c r="K11" t="str">
        <f>IF(tblEmployees[[#This Row],[Performance]]&gt;=90,"Excellent",IF(tblEmployees[[#This Row],[Performance]]&gt;=80,"Good","Needs Improvement"))</f>
        <v>Good</v>
      </c>
    </row>
    <row r="12" spans="1:14" x14ac:dyDescent="0.35">
      <c r="A12" t="s">
        <v>51</v>
      </c>
      <c r="B12" t="s">
        <v>52</v>
      </c>
      <c r="C12" t="s">
        <v>12</v>
      </c>
      <c r="D12" t="s">
        <v>53</v>
      </c>
      <c r="E12" t="s">
        <v>54</v>
      </c>
      <c r="F12" t="s">
        <v>22</v>
      </c>
      <c r="G12" s="2">
        <v>1450000</v>
      </c>
      <c r="H12" s="1">
        <v>44444</v>
      </c>
      <c r="I12">
        <v>77</v>
      </c>
      <c r="J12" t="s">
        <v>16</v>
      </c>
      <c r="K12" t="str">
        <f>IF(tblEmployees[[#This Row],[Performance]]&gt;=90,"Excellent",IF(tblEmployees[[#This Row],[Performance]]&gt;=80,"Good","Needs Improvement"))</f>
        <v>Needs Improvement</v>
      </c>
    </row>
    <row r="13" spans="1:14" x14ac:dyDescent="0.35">
      <c r="A13" t="s">
        <v>55</v>
      </c>
      <c r="B13" t="s">
        <v>56</v>
      </c>
      <c r="C13" t="s">
        <v>19</v>
      </c>
      <c r="D13" t="s">
        <v>13</v>
      </c>
      <c r="E13" t="s">
        <v>57</v>
      </c>
      <c r="F13" t="s">
        <v>15</v>
      </c>
      <c r="G13" s="2">
        <v>1900000</v>
      </c>
      <c r="H13" s="1">
        <v>44166</v>
      </c>
      <c r="I13">
        <v>94</v>
      </c>
      <c r="J13" t="s">
        <v>16</v>
      </c>
      <c r="K13" t="str">
        <f>IF(tblEmployees[[#This Row],[Performance]]&gt;=90,"Excellent",IF(tblEmployees[[#This Row],[Performance]]&gt;=80,"Good","Needs Improvement"))</f>
        <v>Excellent</v>
      </c>
    </row>
    <row r="14" spans="1:14" x14ac:dyDescent="0.35">
      <c r="A14" t="s">
        <v>58</v>
      </c>
      <c r="B14" t="s">
        <v>59</v>
      </c>
      <c r="C14" t="s">
        <v>12</v>
      </c>
      <c r="D14" t="s">
        <v>20</v>
      </c>
      <c r="E14" t="s">
        <v>21</v>
      </c>
      <c r="F14" t="s">
        <v>27</v>
      </c>
      <c r="G14" s="2">
        <v>1750000</v>
      </c>
      <c r="H14" s="1">
        <v>44606</v>
      </c>
      <c r="I14">
        <v>86</v>
      </c>
      <c r="J14" t="s">
        <v>16</v>
      </c>
      <c r="K14" t="str">
        <f>IF(tblEmployees[[#This Row],[Performance]]&gt;=90,"Excellent",IF(tblEmployees[[#This Row],[Performance]]&gt;=80,"Good","Needs Improvement"))</f>
        <v>Good</v>
      </c>
    </row>
    <row r="15" spans="1:14" x14ac:dyDescent="0.35">
      <c r="A15" t="s">
        <v>60</v>
      </c>
      <c r="B15" t="s">
        <v>61</v>
      </c>
      <c r="C15" t="s">
        <v>19</v>
      </c>
      <c r="D15" t="s">
        <v>25</v>
      </c>
      <c r="E15" t="s">
        <v>26</v>
      </c>
      <c r="F15" t="s">
        <v>35</v>
      </c>
      <c r="G15" s="2">
        <v>1350000</v>
      </c>
      <c r="H15" s="1">
        <v>45219</v>
      </c>
      <c r="I15">
        <v>83</v>
      </c>
      <c r="J15" t="s">
        <v>16</v>
      </c>
      <c r="K15" t="str">
        <f>IF(tblEmployees[[#This Row],[Performance]]&gt;=90,"Excellent",IF(tblEmployees[[#This Row],[Performance]]&gt;=80,"Good","Needs Improvement"))</f>
        <v>Good</v>
      </c>
    </row>
    <row r="16" spans="1:14" x14ac:dyDescent="0.35">
      <c r="A16" t="s">
        <v>62</v>
      </c>
      <c r="B16" t="s">
        <v>63</v>
      </c>
      <c r="C16" t="s">
        <v>12</v>
      </c>
      <c r="D16" t="s">
        <v>38</v>
      </c>
      <c r="E16" t="s">
        <v>39</v>
      </c>
      <c r="F16" t="s">
        <v>15</v>
      </c>
      <c r="G16" s="2">
        <v>1550000</v>
      </c>
      <c r="H16" s="1">
        <v>44327</v>
      </c>
      <c r="I16">
        <v>90</v>
      </c>
      <c r="J16" t="s">
        <v>16</v>
      </c>
      <c r="K16" t="str">
        <f>IF(tblEmployees[[#This Row],[Performance]]&gt;=90,"Excellent",IF(tblEmployees[[#This Row],[Performance]]&gt;=80,"Good","Needs Improvement"))</f>
        <v>Excellent</v>
      </c>
    </row>
    <row r="17" spans="1:11" x14ac:dyDescent="0.35">
      <c r="A17" t="s">
        <v>64</v>
      </c>
      <c r="B17" t="s">
        <v>65</v>
      </c>
      <c r="C17" t="s">
        <v>19</v>
      </c>
      <c r="D17" t="s">
        <v>53</v>
      </c>
      <c r="E17" t="s">
        <v>66</v>
      </c>
      <c r="F17" t="s">
        <v>22</v>
      </c>
      <c r="G17" s="2">
        <v>1150000</v>
      </c>
      <c r="H17" s="1">
        <v>45354</v>
      </c>
      <c r="I17">
        <v>74</v>
      </c>
      <c r="J17" t="s">
        <v>16</v>
      </c>
      <c r="K17" t="str">
        <f>IF(tblEmployees[[#This Row],[Performance]]&gt;=90,"Excellent",IF(tblEmployees[[#This Row],[Performance]]&gt;=80,"Good","Needs Improvement"))</f>
        <v>Needs Improvement</v>
      </c>
    </row>
    <row r="18" spans="1:11" x14ac:dyDescent="0.35">
      <c r="A18" t="s">
        <v>67</v>
      </c>
      <c r="B18" t="s">
        <v>68</v>
      </c>
      <c r="C18" t="s">
        <v>12</v>
      </c>
      <c r="D18" t="s">
        <v>13</v>
      </c>
      <c r="E18" t="s">
        <v>14</v>
      </c>
      <c r="F18" t="s">
        <v>27</v>
      </c>
      <c r="G18" s="2">
        <v>1600000</v>
      </c>
      <c r="H18" s="1">
        <v>44761</v>
      </c>
      <c r="I18">
        <v>87</v>
      </c>
      <c r="J18" t="s">
        <v>16</v>
      </c>
      <c r="K18" t="str">
        <f>IF(tblEmployees[[#This Row],[Performance]]&gt;=90,"Excellent",IF(tblEmployees[[#This Row],[Performance]]&gt;=80,"Good","Needs Improvement"))</f>
        <v>Good</v>
      </c>
    </row>
    <row r="19" spans="1:11" x14ac:dyDescent="0.35">
      <c r="A19" t="s">
        <v>69</v>
      </c>
      <c r="B19" t="s">
        <v>70</v>
      </c>
      <c r="C19" t="s">
        <v>19</v>
      </c>
      <c r="D19" t="s">
        <v>30</v>
      </c>
      <c r="E19" t="s">
        <v>31</v>
      </c>
      <c r="F19" t="s">
        <v>15</v>
      </c>
      <c r="G19" s="2">
        <v>1500000</v>
      </c>
      <c r="H19" s="1">
        <v>44116</v>
      </c>
      <c r="I19">
        <v>93</v>
      </c>
      <c r="J19" t="s">
        <v>16</v>
      </c>
      <c r="K19" t="str">
        <f>IF(tblEmployees[[#This Row],[Performance]]&gt;=90,"Excellent",IF(tblEmployees[[#This Row],[Performance]]&gt;=80,"Good","Needs Improvement"))</f>
        <v>Excellent</v>
      </c>
    </row>
    <row r="20" spans="1:11" x14ac:dyDescent="0.35">
      <c r="A20" t="s">
        <v>71</v>
      </c>
      <c r="B20" t="s">
        <v>72</v>
      </c>
      <c r="C20" t="s">
        <v>12</v>
      </c>
      <c r="D20" t="s">
        <v>25</v>
      </c>
      <c r="E20" t="s">
        <v>26</v>
      </c>
      <c r="F20" t="s">
        <v>22</v>
      </c>
      <c r="G20" s="2">
        <v>1280000</v>
      </c>
      <c r="H20" s="1">
        <v>45264</v>
      </c>
      <c r="I20">
        <v>69</v>
      </c>
      <c r="J20" t="s">
        <v>16</v>
      </c>
      <c r="K20" t="str">
        <f>IF(tblEmployees[[#This Row],[Performance]]&gt;=90,"Excellent",IF(tblEmployees[[#This Row],[Performance]]&gt;=80,"Good","Needs Improvement"))</f>
        <v>Needs Improvement</v>
      </c>
    </row>
    <row r="21" spans="1:11" x14ac:dyDescent="0.35">
      <c r="A21" t="s">
        <v>73</v>
      </c>
      <c r="B21" t="s">
        <v>74</v>
      </c>
      <c r="C21" t="s">
        <v>19</v>
      </c>
      <c r="D21" t="s">
        <v>20</v>
      </c>
      <c r="E21" t="s">
        <v>44</v>
      </c>
      <c r="F21" t="s">
        <v>35</v>
      </c>
      <c r="G21" s="2">
        <v>1720000</v>
      </c>
      <c r="H21" s="1">
        <v>44221</v>
      </c>
      <c r="I21">
        <v>91</v>
      </c>
      <c r="J21" t="s">
        <v>16</v>
      </c>
      <c r="K21" t="str">
        <f>IF(tblEmployees[[#This Row],[Performance]]&gt;=90,"Excellent",IF(tblEmployees[[#This Row],[Performance]]&gt;=80,"Good","Needs Improvement"))</f>
        <v>Excellent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gaudencia nyaji</dc:creator>
  <cp:lastModifiedBy>gaudencia nyaji</cp:lastModifiedBy>
  <dcterms:created xsi:type="dcterms:W3CDTF">2026-09-29T15:05:55Z</dcterms:created>
  <dcterms:modified xsi:type="dcterms:W3CDTF">2026-09-29T15:41:01Z</dcterms:modified>
</cp:coreProperties>
</file>